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uchikasliwal/my-project/"/>
    </mc:Choice>
  </mc:AlternateContent>
  <xr:revisionPtr revIDLastSave="0" documentId="8_{F2ADDBCC-7899-C64A-A4EF-2EB3F1AF3126}" xr6:coauthVersionLast="47" xr6:coauthVersionMax="47" xr10:uidLastSave="{00000000-0000-0000-0000-000000000000}"/>
  <bookViews>
    <workbookView xWindow="0" yWindow="500" windowWidth="25120" windowHeight="15680" tabRatio="500" xr2:uid="{00000000-000D-0000-FFFF-FFFF00000000}"/>
  </bookViews>
  <sheets>
    <sheet name="Pipeline" sheetId="1" r:id="rId1"/>
    <sheet name="Summary" sheetId="2" r:id="rId2"/>
  </sheets>
  <definedNames>
    <definedName name="_xlnm._FilterDatabase" localSheetId="0" hidden="1">Pipeline!$A$1:$I$52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2" l="1"/>
  <c r="B6" i="2"/>
  <c r="C5" i="2"/>
  <c r="B5" i="2"/>
  <c r="C4" i="2"/>
  <c r="B4" i="2"/>
  <c r="C3" i="2"/>
  <c r="B3" i="2"/>
  <c r="C2" i="2"/>
  <c r="B2" i="2"/>
  <c r="C7" i="2" l="1"/>
  <c r="B7" i="2"/>
</calcChain>
</file>

<file path=xl/sharedStrings.xml><?xml version="1.0" encoding="utf-8"?>
<sst xmlns="http://schemas.openxmlformats.org/spreadsheetml/2006/main" count="324" uniqueCount="106">
  <si>
    <t>Deal ID</t>
  </si>
  <si>
    <t>Account Name</t>
  </si>
  <si>
    <t>Customer Size</t>
  </si>
  <si>
    <t>Deal Amount ($)</t>
  </si>
  <si>
    <t>Stage</t>
  </si>
  <si>
    <t>Forecast Category</t>
  </si>
  <si>
    <t>Close Date</t>
  </si>
  <si>
    <t>Owner</t>
  </si>
  <si>
    <t>Probability (%)</t>
  </si>
  <si>
    <t>D-1039</t>
  </si>
  <si>
    <t>Riverside Dental</t>
  </si>
  <si>
    <t>SMB</t>
  </si>
  <si>
    <t>Closed Lost</t>
  </si>
  <si>
    <t>Omitted</t>
  </si>
  <si>
    <t>Jordan Lee</t>
  </si>
  <si>
    <t>D-1044</t>
  </si>
  <si>
    <t>Ink &amp; Toner Pro</t>
  </si>
  <si>
    <t>Proposal</t>
  </si>
  <si>
    <t>Best Case</t>
  </si>
  <si>
    <t>Priya Nair</t>
  </si>
  <si>
    <t>D-1005</t>
  </si>
  <si>
    <t>Atlas Logistics Group</t>
  </si>
  <si>
    <t>Enterprise</t>
  </si>
  <si>
    <t>Qualification</t>
  </si>
  <si>
    <t>Pipeline</t>
  </si>
  <si>
    <t>D-1030</t>
  </si>
  <si>
    <t>Harborview Realty</t>
  </si>
  <si>
    <t>Mid-Market</t>
  </si>
  <si>
    <t>Discovery</t>
  </si>
  <si>
    <t>Marcus Chen</t>
  </si>
  <si>
    <t>D-1048</t>
  </si>
  <si>
    <t>Coastline Surf Shop</t>
  </si>
  <si>
    <t>Aisha Khan</t>
  </si>
  <si>
    <t>D-1049</t>
  </si>
  <si>
    <t>Negotiation</t>
  </si>
  <si>
    <t>Commit</t>
  </si>
  <si>
    <t>D-1010</t>
  </si>
  <si>
    <t>Summit Healthcare Systems</t>
  </si>
  <si>
    <t>D-1028</t>
  </si>
  <si>
    <t>Closed Won</t>
  </si>
  <si>
    <t>Closed</t>
  </si>
  <si>
    <t>D-1040</t>
  </si>
  <si>
    <t>Sofia Alvarez</t>
  </si>
  <si>
    <t>D-1018</t>
  </si>
  <si>
    <t>BrightPath Software</t>
  </si>
  <si>
    <t>D-1050</t>
  </si>
  <si>
    <t>Pixel Forge Design</t>
  </si>
  <si>
    <t>D-1014</t>
  </si>
  <si>
    <t>Pinnacle Retail Holdings</t>
  </si>
  <si>
    <t>Verbal Commit</t>
  </si>
  <si>
    <t>D-1025</t>
  </si>
  <si>
    <t>Lumen Analytics</t>
  </si>
  <si>
    <t>Prospecting</t>
  </si>
  <si>
    <t>D-1004</t>
  </si>
  <si>
    <t>D-1002</t>
  </si>
  <si>
    <t>Helios Manufacturing</t>
  </si>
  <si>
    <t>D-1008</t>
  </si>
  <si>
    <t>Northbridge Industries</t>
  </si>
  <si>
    <t>Tom Becker</t>
  </si>
  <si>
    <t>D-1003</t>
  </si>
  <si>
    <t>D-1019</t>
  </si>
  <si>
    <t>D-1021</t>
  </si>
  <si>
    <t>Cedar Valley Foods</t>
  </si>
  <si>
    <t>D-1047</t>
  </si>
  <si>
    <t>GreenThumb Landscaping</t>
  </si>
  <si>
    <t>D-1031</t>
  </si>
  <si>
    <t>Quill &amp; Co Media</t>
  </si>
  <si>
    <t>D-1020</t>
  </si>
  <si>
    <t>D-1007</t>
  </si>
  <si>
    <t>Vanguard Financial</t>
  </si>
  <si>
    <t>D-1027</t>
  </si>
  <si>
    <t>D-1036</t>
  </si>
  <si>
    <t>Maple Street Bakery</t>
  </si>
  <si>
    <t>D-1009</t>
  </si>
  <si>
    <t>D-1041</t>
  </si>
  <si>
    <t>FitLab Studios</t>
  </si>
  <si>
    <t>D-1029</t>
  </si>
  <si>
    <t>D-1001</t>
  </si>
  <si>
    <t>D-1046</t>
  </si>
  <si>
    <t>D-1012</t>
  </si>
  <si>
    <t>Orion Telecom</t>
  </si>
  <si>
    <t>D-1032</t>
  </si>
  <si>
    <t>D-1037</t>
  </si>
  <si>
    <t>D-1038</t>
  </si>
  <si>
    <t>D-1026</t>
  </si>
  <si>
    <t>D-1016</t>
  </si>
  <si>
    <t>D-1013</t>
  </si>
  <si>
    <t>D-1043</t>
  </si>
  <si>
    <t>D-1022</t>
  </si>
  <si>
    <t>D-1033</t>
  </si>
  <si>
    <t>D-1051</t>
  </si>
  <si>
    <t>D-1035</t>
  </si>
  <si>
    <t>Tessera Robotics</t>
  </si>
  <si>
    <t>D-1015</t>
  </si>
  <si>
    <t>D-1023</t>
  </si>
  <si>
    <t>Meridian Insurance</t>
  </si>
  <si>
    <t>D-1011</t>
  </si>
  <si>
    <t>D-1024</t>
  </si>
  <si>
    <t>D-1034</t>
  </si>
  <si>
    <t>D-1017</t>
  </si>
  <si>
    <t>D-1045</t>
  </si>
  <si>
    <t>D-1006</t>
  </si>
  <si>
    <t>D-1042</t>
  </si>
  <si>
    <t>Total Amount ($)</t>
  </si>
  <si>
    <t>Deal 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</si>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</sst>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mm/dd/yyyy"/>
    <numFmt numFmtId="166" formatCode="0\%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zoomScaleNormal="100" workbookViewId="0">
      <pane ySplit="1" topLeftCell="A16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26" customWidth="1"/>
    <col min="3" max="3" width="14" customWidth="1"/>
    <col min="4" max="5" width="16" customWidth="1"/>
    <col min="6" max="6" width="18" customWidth="1"/>
    <col min="7" max="7" width="13" customWidth="1"/>
    <col min="8" max="9" width="16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3">
        <v>66500</v>
      </c>
      <c r="E2" s="2" t="s">
        <v>12</v>
      </c>
      <c r="F2" s="2" t="s">
        <v>13</v>
      </c>
      <c r="G2" s="4">
        <v>46169</v>
      </c>
      <c r="H2" s="2" t="s">
        <v>14</v>
      </c>
      <c r="I2" s="5">
        <v>0</v>
      </c>
    </row>
    <row r="3" spans="1:9" x14ac:dyDescent="0.2">
      <c r="A3" s="2" t="s">
        <v>15</v>
      </c>
      <c r="B3" s="2" t="s">
        <v>16</v>
      </c>
      <c r="C3" s="2" t="s">
        <v>11</v>
      </c>
      <c r="D3" s="3">
        <v>65000</v>
      </c>
      <c r="E3" s="2" t="s">
        <v>17</v>
      </c>
      <c r="F3" s="2" t="s">
        <v>18</v>
      </c>
      <c r="G3" s="4">
        <v>46288</v>
      </c>
      <c r="H3" s="2" t="s">
        <v>19</v>
      </c>
      <c r="I3" s="5">
        <v>55</v>
      </c>
    </row>
    <row r="4" spans="1:9" x14ac:dyDescent="0.2">
      <c r="A4" s="2" t="s">
        <v>20</v>
      </c>
      <c r="B4" s="2" t="s">
        <v>21</v>
      </c>
      <c r="C4" s="2" t="s">
        <v>22</v>
      </c>
      <c r="D4" s="3">
        <v>192000</v>
      </c>
      <c r="E4" s="2" t="s">
        <v>23</v>
      </c>
      <c r="F4" s="2" t="s">
        <v>24</v>
      </c>
      <c r="G4" s="4">
        <v>46300</v>
      </c>
      <c r="H4" s="2" t="s">
        <v>14</v>
      </c>
      <c r="I4" s="5">
        <v>25</v>
      </c>
    </row>
    <row r="5" spans="1:9" x14ac:dyDescent="0.2">
      <c r="A5" s="2" t="s">
        <v>25</v>
      </c>
      <c r="B5" s="2" t="s">
        <v>26</v>
      </c>
      <c r="C5" s="2" t="s">
        <v>27</v>
      </c>
      <c r="D5" s="3">
        <v>116500</v>
      </c>
      <c r="E5" s="2" t="s">
        <v>28</v>
      </c>
      <c r="F5" s="2" t="s">
        <v>18</v>
      </c>
      <c r="G5" s="4">
        <v>46332</v>
      </c>
      <c r="H5" s="2" t="s">
        <v>29</v>
      </c>
      <c r="I5" s="5">
        <v>40</v>
      </c>
    </row>
    <row r="6" spans="1:9" x14ac:dyDescent="0.2">
      <c r="A6" s="2" t="s">
        <v>30</v>
      </c>
      <c r="B6" s="2" t="s">
        <v>31</v>
      </c>
      <c r="C6" s="2" t="s">
        <v>11</v>
      </c>
      <c r="D6" s="3">
        <v>74000</v>
      </c>
      <c r="E6" s="2" t="s">
        <v>23</v>
      </c>
      <c r="F6" s="2" t="s">
        <v>24</v>
      </c>
      <c r="G6" s="4">
        <v>46279</v>
      </c>
      <c r="H6" s="2" t="s">
        <v>32</v>
      </c>
      <c r="I6" s="5">
        <v>25</v>
      </c>
    </row>
    <row r="7" spans="1:9" x14ac:dyDescent="0.2">
      <c r="A7" s="2" t="s">
        <v>33</v>
      </c>
      <c r="B7" s="2" t="s">
        <v>31</v>
      </c>
      <c r="C7" s="2" t="s">
        <v>11</v>
      </c>
      <c r="D7" s="3">
        <v>56500</v>
      </c>
      <c r="E7" s="2" t="s">
        <v>34</v>
      </c>
      <c r="F7" s="2" t="s">
        <v>35</v>
      </c>
      <c r="G7" s="4">
        <v>46369</v>
      </c>
      <c r="H7" s="2" t="s">
        <v>19</v>
      </c>
      <c r="I7" s="5">
        <v>75</v>
      </c>
    </row>
    <row r="8" spans="1:9" x14ac:dyDescent="0.2">
      <c r="A8" s="2" t="s">
        <v>36</v>
      </c>
      <c r="B8" s="2" t="s">
        <v>37</v>
      </c>
      <c r="C8" s="2" t="s">
        <v>22</v>
      </c>
      <c r="D8" s="3">
        <v>196000</v>
      </c>
      <c r="E8" s="2" t="s">
        <v>23</v>
      </c>
      <c r="F8" s="2" t="s">
        <v>24</v>
      </c>
      <c r="G8" s="4">
        <v>46338</v>
      </c>
      <c r="H8" s="2" t="s">
        <v>32</v>
      </c>
      <c r="I8" s="5">
        <v>25</v>
      </c>
    </row>
    <row r="9" spans="1:9" x14ac:dyDescent="0.2">
      <c r="A9" s="2" t="s">
        <v>38</v>
      </c>
      <c r="B9" s="2" t="s">
        <v>26</v>
      </c>
      <c r="C9" s="2" t="s">
        <v>27</v>
      </c>
      <c r="D9" s="3">
        <v>125000</v>
      </c>
      <c r="E9" s="2" t="s">
        <v>39</v>
      </c>
      <c r="F9" s="2" t="s">
        <v>40</v>
      </c>
      <c r="G9" s="4">
        <v>46176</v>
      </c>
      <c r="H9" s="2" t="s">
        <v>19</v>
      </c>
      <c r="I9" s="5">
        <v>100</v>
      </c>
    </row>
    <row r="10" spans="1:9" x14ac:dyDescent="0.2">
      <c r="A10" s="2" t="s">
        <v>41</v>
      </c>
      <c r="B10" s="2" t="s">
        <v>10</v>
      </c>
      <c r="C10" s="2" t="s">
        <v>11</v>
      </c>
      <c r="D10" s="3">
        <v>29500</v>
      </c>
      <c r="E10" s="2" t="s">
        <v>17</v>
      </c>
      <c r="F10" s="2" t="s">
        <v>18</v>
      </c>
      <c r="G10" s="4">
        <v>46245</v>
      </c>
      <c r="H10" s="2" t="s">
        <v>42</v>
      </c>
      <c r="I10" s="5">
        <v>55</v>
      </c>
    </row>
    <row r="11" spans="1:9" x14ac:dyDescent="0.2">
      <c r="A11" s="2" t="s">
        <v>43</v>
      </c>
      <c r="B11" s="2" t="s">
        <v>44</v>
      </c>
      <c r="C11" s="2" t="s">
        <v>27</v>
      </c>
      <c r="D11" s="3">
        <v>105000</v>
      </c>
      <c r="E11" s="2" t="s">
        <v>28</v>
      </c>
      <c r="F11" s="2" t="s">
        <v>18</v>
      </c>
      <c r="G11" s="4">
        <v>46230</v>
      </c>
      <c r="H11" s="2" t="s">
        <v>42</v>
      </c>
      <c r="I11" s="5">
        <v>40</v>
      </c>
    </row>
    <row r="12" spans="1:9" x14ac:dyDescent="0.2">
      <c r="A12" s="2" t="s">
        <v>45</v>
      </c>
      <c r="B12" s="2" t="s">
        <v>46</v>
      </c>
      <c r="C12" s="2" t="s">
        <v>11</v>
      </c>
      <c r="D12" s="3">
        <v>59500</v>
      </c>
      <c r="E12" s="2" t="s">
        <v>17</v>
      </c>
      <c r="F12" s="2" t="s">
        <v>18</v>
      </c>
      <c r="G12" s="4">
        <v>46284</v>
      </c>
      <c r="H12" s="2" t="s">
        <v>19</v>
      </c>
      <c r="I12" s="5">
        <v>55</v>
      </c>
    </row>
    <row r="13" spans="1:9" x14ac:dyDescent="0.2">
      <c r="A13" s="2" t="s">
        <v>47</v>
      </c>
      <c r="B13" s="2" t="s">
        <v>48</v>
      </c>
      <c r="C13" s="2" t="s">
        <v>22</v>
      </c>
      <c r="D13" s="3">
        <v>159500</v>
      </c>
      <c r="E13" s="2" t="s">
        <v>49</v>
      </c>
      <c r="F13" s="2" t="s">
        <v>35</v>
      </c>
      <c r="G13" s="4">
        <v>46255</v>
      </c>
      <c r="H13" s="2" t="s">
        <v>19</v>
      </c>
      <c r="I13" s="5">
        <v>90</v>
      </c>
    </row>
    <row r="14" spans="1:9" x14ac:dyDescent="0.2">
      <c r="A14" s="2" t="s">
        <v>50</v>
      </c>
      <c r="B14" s="2" t="s">
        <v>51</v>
      </c>
      <c r="C14" s="2" t="s">
        <v>27</v>
      </c>
      <c r="D14" s="3">
        <v>120500</v>
      </c>
      <c r="E14" s="2" t="s">
        <v>52</v>
      </c>
      <c r="F14" s="2" t="s">
        <v>24</v>
      </c>
      <c r="G14" s="4">
        <v>46282</v>
      </c>
      <c r="H14" s="2" t="s">
        <v>19</v>
      </c>
      <c r="I14" s="5">
        <v>15</v>
      </c>
    </row>
    <row r="15" spans="1:9" x14ac:dyDescent="0.2">
      <c r="A15" s="2" t="s">
        <v>53</v>
      </c>
      <c r="B15" s="2" t="s">
        <v>21</v>
      </c>
      <c r="C15" s="2" t="s">
        <v>22</v>
      </c>
      <c r="D15" s="3">
        <v>175000</v>
      </c>
      <c r="E15" s="2" t="s">
        <v>39</v>
      </c>
      <c r="F15" s="2" t="s">
        <v>40</v>
      </c>
      <c r="G15" s="4">
        <v>46177</v>
      </c>
      <c r="H15" s="2" t="s">
        <v>19</v>
      </c>
      <c r="I15" s="5">
        <v>100</v>
      </c>
    </row>
    <row r="16" spans="1:9" x14ac:dyDescent="0.2">
      <c r="A16" s="2" t="s">
        <v>54</v>
      </c>
      <c r="B16" s="2" t="s">
        <v>55</v>
      </c>
      <c r="C16" s="2" t="s">
        <v>22</v>
      </c>
      <c r="D16" s="3">
        <v>190000</v>
      </c>
      <c r="E16" s="2" t="s">
        <v>23</v>
      </c>
      <c r="F16" s="2" t="s">
        <v>24</v>
      </c>
      <c r="G16" s="4">
        <v>46216</v>
      </c>
      <c r="H16" s="2" t="s">
        <v>29</v>
      </c>
      <c r="I16" s="5">
        <v>25</v>
      </c>
    </row>
    <row r="17" spans="1:9" x14ac:dyDescent="0.2">
      <c r="A17" s="2" t="s">
        <v>56</v>
      </c>
      <c r="B17" s="2" t="s">
        <v>57</v>
      </c>
      <c r="C17" s="2" t="s">
        <v>22</v>
      </c>
      <c r="D17" s="3">
        <v>175000</v>
      </c>
      <c r="E17" s="2" t="s">
        <v>34</v>
      </c>
      <c r="F17" s="2" t="s">
        <v>35</v>
      </c>
      <c r="G17" s="4">
        <v>46228</v>
      </c>
      <c r="H17" s="2" t="s">
        <v>58</v>
      </c>
      <c r="I17" s="5">
        <v>75</v>
      </c>
    </row>
    <row r="18" spans="1:9" x14ac:dyDescent="0.2">
      <c r="A18" s="2" t="s">
        <v>59</v>
      </c>
      <c r="B18" s="2" t="s">
        <v>55</v>
      </c>
      <c r="C18" s="2" t="s">
        <v>22</v>
      </c>
      <c r="D18" s="3">
        <v>186500</v>
      </c>
      <c r="E18" s="2" t="s">
        <v>52</v>
      </c>
      <c r="F18" s="2" t="s">
        <v>24</v>
      </c>
      <c r="G18" s="4">
        <v>46246</v>
      </c>
      <c r="H18" s="2" t="s">
        <v>14</v>
      </c>
      <c r="I18" s="5">
        <v>15</v>
      </c>
    </row>
    <row r="19" spans="1:9" x14ac:dyDescent="0.2">
      <c r="A19" s="2" t="s">
        <v>60</v>
      </c>
      <c r="B19" s="2" t="s">
        <v>44</v>
      </c>
      <c r="C19" s="2" t="s">
        <v>27</v>
      </c>
      <c r="D19" s="3">
        <v>65000</v>
      </c>
      <c r="E19" s="2" t="s">
        <v>39</v>
      </c>
      <c r="F19" s="2" t="s">
        <v>40</v>
      </c>
      <c r="G19" s="4">
        <v>46177</v>
      </c>
      <c r="H19" s="2" t="s">
        <v>58</v>
      </c>
      <c r="I19" s="5">
        <v>100</v>
      </c>
    </row>
    <row r="20" spans="1:9" x14ac:dyDescent="0.2">
      <c r="A20" s="2" t="s">
        <v>61</v>
      </c>
      <c r="B20" s="2" t="s">
        <v>62</v>
      </c>
      <c r="C20" s="2" t="s">
        <v>27</v>
      </c>
      <c r="D20" s="3">
        <v>69000</v>
      </c>
      <c r="E20" s="2" t="s">
        <v>12</v>
      </c>
      <c r="F20" s="2" t="s">
        <v>13</v>
      </c>
      <c r="G20" s="4">
        <v>46155</v>
      </c>
      <c r="H20" s="2" t="s">
        <v>14</v>
      </c>
      <c r="I20" s="5">
        <v>0</v>
      </c>
    </row>
    <row r="21" spans="1:9" x14ac:dyDescent="0.2">
      <c r="A21" s="2" t="s">
        <v>63</v>
      </c>
      <c r="B21" s="2" t="s">
        <v>64</v>
      </c>
      <c r="C21" s="2" t="s">
        <v>11</v>
      </c>
      <c r="D21" s="3">
        <v>56500</v>
      </c>
      <c r="E21" s="2" t="s">
        <v>12</v>
      </c>
      <c r="F21" s="2" t="s">
        <v>13</v>
      </c>
      <c r="G21" s="4">
        <v>46172</v>
      </c>
      <c r="H21" s="2" t="s">
        <v>14</v>
      </c>
      <c r="I21" s="5">
        <v>0</v>
      </c>
    </row>
    <row r="22" spans="1:9" x14ac:dyDescent="0.2">
      <c r="A22" s="2" t="s">
        <v>65</v>
      </c>
      <c r="B22" s="2" t="s">
        <v>66</v>
      </c>
      <c r="C22" s="2" t="s">
        <v>27</v>
      </c>
      <c r="D22" s="3">
        <v>110000</v>
      </c>
      <c r="E22" s="2" t="s">
        <v>49</v>
      </c>
      <c r="F22" s="2" t="s">
        <v>35</v>
      </c>
      <c r="G22" s="4">
        <v>46251</v>
      </c>
      <c r="H22" s="2" t="s">
        <v>19</v>
      </c>
      <c r="I22" s="5">
        <v>90</v>
      </c>
    </row>
    <row r="23" spans="1:9" x14ac:dyDescent="0.2">
      <c r="A23" s="2" t="s">
        <v>67</v>
      </c>
      <c r="B23" s="2" t="s">
        <v>62</v>
      </c>
      <c r="C23" s="2" t="s">
        <v>27</v>
      </c>
      <c r="D23" s="3">
        <v>106000</v>
      </c>
      <c r="E23" s="2" t="s">
        <v>49</v>
      </c>
      <c r="F23" s="2" t="s">
        <v>35</v>
      </c>
      <c r="G23" s="4">
        <v>46344</v>
      </c>
      <c r="H23" s="2" t="s">
        <v>42</v>
      </c>
      <c r="I23" s="5">
        <v>90</v>
      </c>
    </row>
    <row r="24" spans="1:9" x14ac:dyDescent="0.2">
      <c r="A24" s="2" t="s">
        <v>68</v>
      </c>
      <c r="B24" s="2" t="s">
        <v>69</v>
      </c>
      <c r="C24" s="2" t="s">
        <v>22</v>
      </c>
      <c r="D24" s="3">
        <v>126500</v>
      </c>
      <c r="E24" s="2" t="s">
        <v>39</v>
      </c>
      <c r="F24" s="2" t="s">
        <v>40</v>
      </c>
      <c r="G24" s="4">
        <v>46167</v>
      </c>
      <c r="H24" s="2" t="s">
        <v>14</v>
      </c>
      <c r="I24" s="5">
        <v>100</v>
      </c>
    </row>
    <row r="25" spans="1:9" x14ac:dyDescent="0.2">
      <c r="A25" s="2" t="s">
        <v>70</v>
      </c>
      <c r="B25" s="2" t="s">
        <v>51</v>
      </c>
      <c r="C25" s="2" t="s">
        <v>27</v>
      </c>
      <c r="D25" s="3">
        <v>77000</v>
      </c>
      <c r="E25" s="2" t="s">
        <v>34</v>
      </c>
      <c r="F25" s="2" t="s">
        <v>35</v>
      </c>
      <c r="G25" s="4">
        <v>46381</v>
      </c>
      <c r="H25" s="2" t="s">
        <v>19</v>
      </c>
      <c r="I25" s="5">
        <v>75</v>
      </c>
    </row>
    <row r="26" spans="1:9" x14ac:dyDescent="0.2">
      <c r="A26" s="2" t="s">
        <v>71</v>
      </c>
      <c r="B26" s="2" t="s">
        <v>72</v>
      </c>
      <c r="C26" s="2" t="s">
        <v>11</v>
      </c>
      <c r="D26" s="3">
        <v>70500</v>
      </c>
      <c r="E26" s="2" t="s">
        <v>28</v>
      </c>
      <c r="F26" s="2" t="s">
        <v>18</v>
      </c>
      <c r="G26" s="4">
        <v>46323</v>
      </c>
      <c r="H26" s="2" t="s">
        <v>58</v>
      </c>
      <c r="I26" s="5">
        <v>40</v>
      </c>
    </row>
    <row r="27" spans="1:9" x14ac:dyDescent="0.2">
      <c r="A27" s="2" t="s">
        <v>73</v>
      </c>
      <c r="B27" s="2" t="s">
        <v>57</v>
      </c>
      <c r="C27" s="2" t="s">
        <v>22</v>
      </c>
      <c r="D27" s="3">
        <v>195000</v>
      </c>
      <c r="E27" s="2" t="s">
        <v>23</v>
      </c>
      <c r="F27" s="2" t="s">
        <v>24</v>
      </c>
      <c r="G27" s="4">
        <v>46270</v>
      </c>
      <c r="H27" s="2" t="s">
        <v>58</v>
      </c>
      <c r="I27" s="5">
        <v>25</v>
      </c>
    </row>
    <row r="28" spans="1:9" x14ac:dyDescent="0.2">
      <c r="A28" s="2" t="s">
        <v>74</v>
      </c>
      <c r="B28" s="2" t="s">
        <v>75</v>
      </c>
      <c r="C28" s="2" t="s">
        <v>11</v>
      </c>
      <c r="D28" s="3">
        <v>47500</v>
      </c>
      <c r="E28" s="2" t="s">
        <v>23</v>
      </c>
      <c r="F28" s="2" t="s">
        <v>24</v>
      </c>
      <c r="G28" s="4">
        <v>46345</v>
      </c>
      <c r="H28" s="2" t="s">
        <v>14</v>
      </c>
      <c r="I28" s="5">
        <v>25</v>
      </c>
    </row>
    <row r="29" spans="1:9" x14ac:dyDescent="0.2">
      <c r="A29" s="2" t="s">
        <v>76</v>
      </c>
      <c r="B29" s="2" t="s">
        <v>26</v>
      </c>
      <c r="C29" s="2" t="s">
        <v>27</v>
      </c>
      <c r="D29" s="3">
        <v>112500</v>
      </c>
      <c r="E29" s="2" t="s">
        <v>12</v>
      </c>
      <c r="F29" s="2" t="s">
        <v>13</v>
      </c>
      <c r="G29" s="4">
        <v>46164</v>
      </c>
      <c r="H29" s="2" t="s">
        <v>29</v>
      </c>
      <c r="I29" s="5">
        <v>0</v>
      </c>
    </row>
    <row r="30" spans="1:9" x14ac:dyDescent="0.2">
      <c r="A30" s="2" t="s">
        <v>77</v>
      </c>
      <c r="B30" s="2" t="s">
        <v>55</v>
      </c>
      <c r="C30" s="2" t="s">
        <v>22</v>
      </c>
      <c r="D30" s="3">
        <v>172000</v>
      </c>
      <c r="E30" s="2" t="s">
        <v>28</v>
      </c>
      <c r="F30" s="2" t="s">
        <v>18</v>
      </c>
      <c r="G30" s="4">
        <v>46358</v>
      </c>
      <c r="H30" s="2" t="s">
        <v>14</v>
      </c>
      <c r="I30" s="5">
        <v>40</v>
      </c>
    </row>
    <row r="31" spans="1:9" x14ac:dyDescent="0.2">
      <c r="A31" s="2" t="s">
        <v>78</v>
      </c>
      <c r="B31" s="2" t="s">
        <v>64</v>
      </c>
      <c r="C31" s="2" t="s">
        <v>11</v>
      </c>
      <c r="D31" s="3">
        <v>32500</v>
      </c>
      <c r="E31" s="2" t="s">
        <v>23</v>
      </c>
      <c r="F31" s="2" t="s">
        <v>24</v>
      </c>
      <c r="G31" s="4">
        <v>46316</v>
      </c>
      <c r="H31" s="2" t="s">
        <v>42</v>
      </c>
      <c r="I31" s="5">
        <v>25</v>
      </c>
    </row>
    <row r="32" spans="1:9" x14ac:dyDescent="0.2">
      <c r="A32" s="2" t="s">
        <v>79</v>
      </c>
      <c r="B32" s="2" t="s">
        <v>80</v>
      </c>
      <c r="C32" s="2" t="s">
        <v>22</v>
      </c>
      <c r="D32" s="3">
        <v>147000</v>
      </c>
      <c r="E32" s="2" t="s">
        <v>52</v>
      </c>
      <c r="F32" s="2" t="s">
        <v>24</v>
      </c>
      <c r="G32" s="4">
        <v>46319</v>
      </c>
      <c r="H32" s="2" t="s">
        <v>32</v>
      </c>
      <c r="I32" s="5">
        <v>15</v>
      </c>
    </row>
    <row r="33" spans="1:9" x14ac:dyDescent="0.2">
      <c r="A33" s="2" t="s">
        <v>81</v>
      </c>
      <c r="B33" s="2" t="s">
        <v>66</v>
      </c>
      <c r="C33" s="2" t="s">
        <v>27</v>
      </c>
      <c r="D33" s="3">
        <v>83000</v>
      </c>
      <c r="E33" s="2" t="s">
        <v>23</v>
      </c>
      <c r="F33" s="2" t="s">
        <v>24</v>
      </c>
      <c r="G33" s="4">
        <v>46230</v>
      </c>
      <c r="H33" s="2" t="s">
        <v>19</v>
      </c>
      <c r="I33" s="5">
        <v>25</v>
      </c>
    </row>
    <row r="34" spans="1:9" x14ac:dyDescent="0.2">
      <c r="A34" s="2" t="s">
        <v>82</v>
      </c>
      <c r="B34" s="2" t="s">
        <v>72</v>
      </c>
      <c r="C34" s="2" t="s">
        <v>11</v>
      </c>
      <c r="D34" s="3">
        <v>55000</v>
      </c>
      <c r="E34" s="2" t="s">
        <v>52</v>
      </c>
      <c r="F34" s="2" t="s">
        <v>24</v>
      </c>
      <c r="G34" s="4">
        <v>46391</v>
      </c>
      <c r="H34" s="2" t="s">
        <v>32</v>
      </c>
      <c r="I34" s="5">
        <v>15</v>
      </c>
    </row>
    <row r="35" spans="1:9" x14ac:dyDescent="0.2">
      <c r="A35" s="2" t="s">
        <v>83</v>
      </c>
      <c r="B35" s="2" t="s">
        <v>72</v>
      </c>
      <c r="C35" s="2" t="s">
        <v>11</v>
      </c>
      <c r="D35" s="3">
        <v>51000</v>
      </c>
      <c r="E35" s="2" t="s">
        <v>39</v>
      </c>
      <c r="F35" s="2" t="s">
        <v>40</v>
      </c>
      <c r="G35" s="4">
        <v>46156</v>
      </c>
      <c r="H35" s="2" t="s">
        <v>42</v>
      </c>
      <c r="I35" s="5">
        <v>100</v>
      </c>
    </row>
    <row r="36" spans="1:9" x14ac:dyDescent="0.2">
      <c r="A36" s="2" t="s">
        <v>84</v>
      </c>
      <c r="B36" s="2" t="s">
        <v>51</v>
      </c>
      <c r="C36" s="2" t="s">
        <v>27</v>
      </c>
      <c r="D36" s="3">
        <v>124500</v>
      </c>
      <c r="E36" s="2" t="s">
        <v>23</v>
      </c>
      <c r="F36" s="2" t="s">
        <v>24</v>
      </c>
      <c r="G36" s="4">
        <v>46207</v>
      </c>
      <c r="H36" s="2" t="s">
        <v>19</v>
      </c>
      <c r="I36" s="5">
        <v>25</v>
      </c>
    </row>
    <row r="37" spans="1:9" x14ac:dyDescent="0.2">
      <c r="A37" s="2" t="s">
        <v>85</v>
      </c>
      <c r="B37" s="2" t="s">
        <v>48</v>
      </c>
      <c r="C37" s="2" t="s">
        <v>22</v>
      </c>
      <c r="D37" s="3">
        <v>165000</v>
      </c>
      <c r="E37" s="2" t="s">
        <v>12</v>
      </c>
      <c r="F37" s="2" t="s">
        <v>13</v>
      </c>
      <c r="G37" s="4">
        <v>46158</v>
      </c>
      <c r="H37" s="2" t="s">
        <v>42</v>
      </c>
      <c r="I37" s="5">
        <v>0</v>
      </c>
    </row>
    <row r="38" spans="1:9" x14ac:dyDescent="0.2">
      <c r="A38" s="2" t="s">
        <v>86</v>
      </c>
      <c r="B38" s="2" t="s">
        <v>80</v>
      </c>
      <c r="C38" s="2" t="s">
        <v>22</v>
      </c>
      <c r="D38" s="3">
        <v>161000</v>
      </c>
      <c r="E38" s="2" t="s">
        <v>39</v>
      </c>
      <c r="F38" s="2" t="s">
        <v>40</v>
      </c>
      <c r="G38" s="4">
        <v>46152</v>
      </c>
      <c r="H38" s="2" t="s">
        <v>58</v>
      </c>
      <c r="I38" s="5">
        <v>100</v>
      </c>
    </row>
    <row r="39" spans="1:9" x14ac:dyDescent="0.2">
      <c r="A39" s="2" t="s">
        <v>87</v>
      </c>
      <c r="B39" s="2" t="s">
        <v>16</v>
      </c>
      <c r="C39" s="2" t="s">
        <v>11</v>
      </c>
      <c r="D39" s="3">
        <v>65000</v>
      </c>
      <c r="E39" s="2" t="s">
        <v>49</v>
      </c>
      <c r="F39" s="2" t="s">
        <v>35</v>
      </c>
      <c r="G39" s="4">
        <v>46198</v>
      </c>
      <c r="H39" s="2" t="s">
        <v>14</v>
      </c>
      <c r="I39" s="5">
        <v>90</v>
      </c>
    </row>
    <row r="40" spans="1:9" x14ac:dyDescent="0.2">
      <c r="A40" s="2" t="s">
        <v>88</v>
      </c>
      <c r="B40" s="2" t="s">
        <v>62</v>
      </c>
      <c r="C40" s="2" t="s">
        <v>27</v>
      </c>
      <c r="D40" s="3">
        <v>122000</v>
      </c>
      <c r="E40" s="2" t="s">
        <v>34</v>
      </c>
      <c r="F40" s="2" t="s">
        <v>35</v>
      </c>
      <c r="G40" s="4">
        <v>46370</v>
      </c>
      <c r="H40" s="2" t="s">
        <v>32</v>
      </c>
      <c r="I40" s="5">
        <v>75</v>
      </c>
    </row>
    <row r="41" spans="1:9" x14ac:dyDescent="0.2">
      <c r="A41" s="2" t="s">
        <v>89</v>
      </c>
      <c r="B41" s="2" t="s">
        <v>66</v>
      </c>
      <c r="C41" s="2" t="s">
        <v>27</v>
      </c>
      <c r="D41" s="3">
        <v>61500</v>
      </c>
      <c r="E41" s="2" t="s">
        <v>17</v>
      </c>
      <c r="F41" s="2" t="s">
        <v>18</v>
      </c>
      <c r="G41" s="4">
        <v>46316</v>
      </c>
      <c r="H41" s="2" t="s">
        <v>58</v>
      </c>
      <c r="I41" s="5">
        <v>55</v>
      </c>
    </row>
    <row r="42" spans="1:9" x14ac:dyDescent="0.2">
      <c r="A42" s="2" t="s">
        <v>90</v>
      </c>
      <c r="B42" s="2" t="s">
        <v>46</v>
      </c>
      <c r="C42" s="2" t="s">
        <v>11</v>
      </c>
      <c r="D42" s="3">
        <v>74500</v>
      </c>
      <c r="E42" s="2" t="s">
        <v>52</v>
      </c>
      <c r="F42" s="2" t="s">
        <v>24</v>
      </c>
      <c r="G42" s="4">
        <v>46327</v>
      </c>
      <c r="H42" s="2" t="s">
        <v>29</v>
      </c>
      <c r="I42" s="5">
        <v>15</v>
      </c>
    </row>
    <row r="43" spans="1:9" x14ac:dyDescent="0.2">
      <c r="A43" s="2" t="s">
        <v>91</v>
      </c>
      <c r="B43" s="2" t="s">
        <v>92</v>
      </c>
      <c r="C43" s="2" t="s">
        <v>27</v>
      </c>
      <c r="D43" s="3">
        <v>130000</v>
      </c>
      <c r="E43" s="2" t="s">
        <v>39</v>
      </c>
      <c r="F43" s="2" t="s">
        <v>40</v>
      </c>
      <c r="G43" s="4">
        <v>46158</v>
      </c>
      <c r="H43" s="2" t="s">
        <v>58</v>
      </c>
      <c r="I43" s="5">
        <v>100</v>
      </c>
    </row>
    <row r="44" spans="1:9" x14ac:dyDescent="0.2">
      <c r="A44" s="2" t="s">
        <v>93</v>
      </c>
      <c r="B44" s="2" t="s">
        <v>48</v>
      </c>
      <c r="C44" s="2" t="s">
        <v>22</v>
      </c>
      <c r="D44" s="3">
        <v>130500</v>
      </c>
      <c r="E44" s="2" t="s">
        <v>17</v>
      </c>
      <c r="F44" s="2" t="s">
        <v>18</v>
      </c>
      <c r="G44" s="4">
        <v>46339</v>
      </c>
      <c r="H44" s="2" t="s">
        <v>29</v>
      </c>
      <c r="I44" s="5">
        <v>55</v>
      </c>
    </row>
    <row r="45" spans="1:9" x14ac:dyDescent="0.2">
      <c r="A45" s="2" t="s">
        <v>94</v>
      </c>
      <c r="B45" s="2" t="s">
        <v>95</v>
      </c>
      <c r="C45" s="2" t="s">
        <v>27</v>
      </c>
      <c r="D45" s="3">
        <v>100500</v>
      </c>
      <c r="E45" s="2" t="s">
        <v>52</v>
      </c>
      <c r="F45" s="2" t="s">
        <v>24</v>
      </c>
      <c r="G45" s="4">
        <v>46357</v>
      </c>
      <c r="H45" s="2" t="s">
        <v>58</v>
      </c>
      <c r="I45" s="5">
        <v>15</v>
      </c>
    </row>
    <row r="46" spans="1:9" x14ac:dyDescent="0.2">
      <c r="A46" s="2" t="s">
        <v>96</v>
      </c>
      <c r="B46" s="2" t="s">
        <v>37</v>
      </c>
      <c r="C46" s="2" t="s">
        <v>22</v>
      </c>
      <c r="D46" s="3">
        <v>169000</v>
      </c>
      <c r="E46" s="2" t="s">
        <v>17</v>
      </c>
      <c r="F46" s="2" t="s">
        <v>18</v>
      </c>
      <c r="G46" s="4">
        <v>46216</v>
      </c>
      <c r="H46" s="2" t="s">
        <v>58</v>
      </c>
      <c r="I46" s="5">
        <v>55</v>
      </c>
    </row>
    <row r="47" spans="1:9" x14ac:dyDescent="0.2">
      <c r="A47" s="2" t="s">
        <v>97</v>
      </c>
      <c r="B47" s="2" t="s">
        <v>95</v>
      </c>
      <c r="C47" s="2" t="s">
        <v>27</v>
      </c>
      <c r="D47" s="3">
        <v>97500</v>
      </c>
      <c r="E47" s="2" t="s">
        <v>12</v>
      </c>
      <c r="F47" s="2" t="s">
        <v>13</v>
      </c>
      <c r="G47" s="4">
        <v>46159</v>
      </c>
      <c r="H47" s="2" t="s">
        <v>42</v>
      </c>
      <c r="I47" s="5">
        <v>0</v>
      </c>
    </row>
    <row r="48" spans="1:9" x14ac:dyDescent="0.2">
      <c r="A48" s="2" t="s">
        <v>98</v>
      </c>
      <c r="B48" s="2" t="s">
        <v>92</v>
      </c>
      <c r="C48" s="2" t="s">
        <v>27</v>
      </c>
      <c r="D48" s="3">
        <v>97000</v>
      </c>
      <c r="E48" s="2" t="s">
        <v>34</v>
      </c>
      <c r="F48" s="2" t="s">
        <v>35</v>
      </c>
      <c r="G48" s="4">
        <v>46193</v>
      </c>
      <c r="H48" s="2" t="s">
        <v>19</v>
      </c>
      <c r="I48" s="5">
        <v>75</v>
      </c>
    </row>
    <row r="49" spans="1:9" x14ac:dyDescent="0.2">
      <c r="A49" s="2" t="s">
        <v>99</v>
      </c>
      <c r="B49" s="2" t="s">
        <v>44</v>
      </c>
      <c r="C49" s="2" t="s">
        <v>27</v>
      </c>
      <c r="D49" s="3">
        <v>75500</v>
      </c>
      <c r="E49" s="2" t="s">
        <v>23</v>
      </c>
      <c r="F49" s="2" t="s">
        <v>24</v>
      </c>
      <c r="G49" s="4">
        <v>46323</v>
      </c>
      <c r="H49" s="2" t="s">
        <v>42</v>
      </c>
      <c r="I49" s="5">
        <v>25</v>
      </c>
    </row>
    <row r="50" spans="1:9" x14ac:dyDescent="0.2">
      <c r="A50" s="2" t="s">
        <v>100</v>
      </c>
      <c r="B50" s="2" t="s">
        <v>64</v>
      </c>
      <c r="C50" s="2" t="s">
        <v>11</v>
      </c>
      <c r="D50" s="3">
        <v>64500</v>
      </c>
      <c r="E50" s="2" t="s">
        <v>49</v>
      </c>
      <c r="F50" s="2" t="s">
        <v>35</v>
      </c>
      <c r="G50" s="4">
        <v>46285</v>
      </c>
      <c r="H50" s="2" t="s">
        <v>42</v>
      </c>
      <c r="I50" s="5">
        <v>90</v>
      </c>
    </row>
    <row r="51" spans="1:9" x14ac:dyDescent="0.2">
      <c r="A51" s="2" t="s">
        <v>101</v>
      </c>
      <c r="B51" s="2" t="s">
        <v>69</v>
      </c>
      <c r="C51" s="2" t="s">
        <v>22</v>
      </c>
      <c r="D51" s="3">
        <v>196500</v>
      </c>
      <c r="E51" s="2" t="s">
        <v>17</v>
      </c>
      <c r="F51" s="2" t="s">
        <v>18</v>
      </c>
      <c r="G51" s="4">
        <v>46207</v>
      </c>
      <c r="H51" s="2" t="s">
        <v>58</v>
      </c>
      <c r="I51" s="5">
        <v>55</v>
      </c>
    </row>
    <row r="52" spans="1:9" x14ac:dyDescent="0.2">
      <c r="A52" s="2" t="s">
        <v>102</v>
      </c>
      <c r="B52" s="2" t="s">
        <v>75</v>
      </c>
      <c r="C52" s="2" t="s">
        <v>11</v>
      </c>
      <c r="D52" s="3">
        <v>25000</v>
      </c>
      <c r="E52" s="2" t="s">
        <v>23</v>
      </c>
      <c r="F52" s="2" t="s">
        <v>24</v>
      </c>
      <c r="G52" s="4">
        <v>46337</v>
      </c>
      <c r="H52" s="2" t="s">
        <v>19</v>
      </c>
      <c r="I52" s="5">
        <v>25</v>
      </c>
    </row>
  </sheetData>
  <autoFilter ref="A1:I52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Normal="100" workbookViewId="0"/>
  </sheetViews>
  <sheetFormatPr baseColWidth="10" defaultColWidth="8.6640625" defaultRowHeight="15" x14ac:dyDescent="0.2"/>
  <cols>
    <col min="1" max="1" width="20" customWidth="1"/>
    <col min="2" max="2" width="18" customWidth="1"/>
    <col min="3" max="3" width="12" customWidth="1"/>
  </cols>
  <sheetData>
    <row r="1" spans="1:3" x14ac:dyDescent="0.2">
      <c r="A1" s="1" t="s">
        <v>5</v>
      </c>
      <c r="B1" s="1" t="s">
        <v>103</v>
      </c>
      <c r="C1" s="1" t="s">
        <v>104</v>
      </c>
    </row>
    <row r="2" spans="1:3" x14ac:dyDescent="0.2">
      <c r="A2" s="2" t="s">
        <v>35</v>
      </c>
      <c r="B2" s="3">
        <f>SUMIF(Pipeline!F2:F52,A2,Pipeline!D2:D52)</f>
        <v>1032500</v>
      </c>
      <c r="C2" s="2">
        <f>COUNTIF(Pipeline!F2:F52,A2)</f>
        <v>10</v>
      </c>
    </row>
    <row r="3" spans="1:3" x14ac:dyDescent="0.2">
      <c r="A3" s="2" t="s">
        <v>18</v>
      </c>
      <c r="B3" s="3">
        <f>SUMIF(Pipeline!F2:F52,A3,Pipeline!D2:D52)</f>
        <v>1175500</v>
      </c>
      <c r="C3" s="2">
        <f>COUNTIF(Pipeline!F2:F52,A3)</f>
        <v>11</v>
      </c>
    </row>
    <row r="4" spans="1:3" x14ac:dyDescent="0.2">
      <c r="A4" s="2" t="s">
        <v>24</v>
      </c>
      <c r="B4" s="3">
        <f>SUMIF(Pipeline!F2:F52,A4,Pipeline!D2:D52)</f>
        <v>1919000</v>
      </c>
      <c r="C4" s="2">
        <f>COUNTIF(Pipeline!F2:F52,A4)</f>
        <v>17</v>
      </c>
    </row>
    <row r="5" spans="1:3" x14ac:dyDescent="0.2">
      <c r="A5" s="2" t="s">
        <v>40</v>
      </c>
      <c r="B5" s="3">
        <f>SUMIF(Pipeline!F2:F52,A5,Pipeline!D2:D52)</f>
        <v>833500</v>
      </c>
      <c r="C5" s="2">
        <f>COUNTIF(Pipeline!F2:F52,A5)</f>
        <v>7</v>
      </c>
    </row>
    <row r="6" spans="1:3" x14ac:dyDescent="0.2">
      <c r="A6" s="2" t="s">
        <v>13</v>
      </c>
      <c r="B6" s="3">
        <f>SUMIF(Pipeline!F2:F52,A6,Pipeline!D2:D52)</f>
        <v>567000</v>
      </c>
      <c r="C6" s="2">
        <f>COUNTIF(Pipeline!F2:F52,A6)</f>
        <v>6</v>
      </c>
    </row>
    <row r="7" spans="1:3" x14ac:dyDescent="0.2">
      <c r="A7" s="6" t="s">
        <v>105</v>
      </c>
      <c r="B7" s="7">
        <f>SUM(B2:B6)</f>
        <v>5527500</v>
      </c>
      <c r="C7" s="6">
        <f>SUM(C2:C6)</f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Pipeline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Ruchi Kasliwal</cp:lastModifiedBy>
  <cp:revision>0</cp:revision>
  <dcterms:created xsi:type="dcterms:W3CDTF">2026-06-09T22:32:05Z</dcterms:created>
  <dcterms:modified xsi:type="dcterms:W3CDTF">2026-06-09T22:33:36Z</dcterms:modified>
  <dc:language>en-US</dc:language>
</cp:coreProperties>
</file>